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SS HoD Sciences\Documents\Loyola Mock 2026\"/>
    </mc:Choice>
  </mc:AlternateContent>
  <xr:revisionPtr revIDLastSave="0" documentId="13_ncr:1_{FDB84C17-750A-435A-B726-2F422081AC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EED MOCK + ERROR" sheetId="1" r:id="rId1"/>
    <sheet name="CORRECTED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2" l="1"/>
  <c r="L31" i="2"/>
  <c r="L30" i="2"/>
  <c r="L29" i="2"/>
  <c r="L28" i="2"/>
  <c r="L27" i="2"/>
  <c r="L26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9" i="2"/>
  <c r="L31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9" i="1"/>
  <c r="L33" i="2" l="1"/>
</calcChain>
</file>

<file path=xl/sharedStrings.xml><?xml version="1.0" encoding="utf-8"?>
<sst xmlns="http://schemas.openxmlformats.org/spreadsheetml/2006/main" count="165" uniqueCount="90">
  <si>
    <t xml:space="preserve">ITEMS DESCRIPTION </t>
  </si>
  <si>
    <t xml:space="preserve">QUANTITY NEEDED </t>
  </si>
  <si>
    <t xml:space="preserve">COST/ITEM </t>
  </si>
  <si>
    <t xml:space="preserve">TOTAL COST </t>
  </si>
  <si>
    <t>RECOMENDED SUPPLIER</t>
  </si>
  <si>
    <t>BUDGET PREPARED WITH THE HELP OF MSCE PRACTICAL SUBJECT TEACHERS FOR:</t>
  </si>
  <si>
    <t>AGRICULTURE</t>
  </si>
  <si>
    <t>BIOLOGY</t>
  </si>
  <si>
    <t xml:space="preserve">CHEMISTRY </t>
  </si>
  <si>
    <t>HOME ECONOMICS</t>
  </si>
  <si>
    <t>MR. A.G. MOYO</t>
  </si>
  <si>
    <t>HoD SCIENCE DEPARTMENT</t>
  </si>
  <si>
    <t>COMPUTER STUDIES</t>
  </si>
  <si>
    <t>PHYSICS</t>
  </si>
  <si>
    <t>TOTAL</t>
  </si>
  <si>
    <t>Authorised by:</t>
  </si>
  <si>
    <t>Deputy Academics</t>
  </si>
  <si>
    <t>Approved by:</t>
  </si>
  <si>
    <t>The Headteacher</t>
  </si>
  <si>
    <t>NPK Fertilizer</t>
  </si>
  <si>
    <t>Urea Fertilizer</t>
  </si>
  <si>
    <t>Maize flour</t>
  </si>
  <si>
    <t>Groundnut flour</t>
  </si>
  <si>
    <t>A4 ream of paper</t>
  </si>
  <si>
    <t>Copper metal</t>
  </si>
  <si>
    <t>Sand paper</t>
  </si>
  <si>
    <t xml:space="preserve">Zinc metal </t>
  </si>
  <si>
    <t>Sodium Hydroxide</t>
  </si>
  <si>
    <t>Plastic papers for masses</t>
  </si>
  <si>
    <t>Cells (Dozens)</t>
  </si>
  <si>
    <t>Minced meet</t>
  </si>
  <si>
    <t>1 Bunch Rape/Chinese cabbage</t>
  </si>
  <si>
    <t>1 Lemon</t>
  </si>
  <si>
    <t>1 Small carrot</t>
  </si>
  <si>
    <t>1 Small green paper</t>
  </si>
  <si>
    <t>3 Tablespoon cooking oil</t>
  </si>
  <si>
    <t>6 Medium Tomatoes Each</t>
  </si>
  <si>
    <t>2 Medium Onions Each</t>
  </si>
  <si>
    <t>10 Medium Irish potatoes</t>
  </si>
  <si>
    <t>2 Tablespoon Each</t>
  </si>
  <si>
    <t>Milk for 15 Candidates</t>
  </si>
  <si>
    <t>S/N</t>
  </si>
  <si>
    <t>Local market</t>
  </si>
  <si>
    <t>Optima</t>
  </si>
  <si>
    <t>2025 TERM 2 CEED MOCK PRACTICALS BUDGET</t>
  </si>
  <si>
    <t>Request for funds for CEED mock practical examinations</t>
  </si>
  <si>
    <t xml:space="preserve">Budget lines; E12.29 = MK226,500.00    </t>
  </si>
  <si>
    <t xml:space="preserve">      E12.14 = MK362,450.00</t>
  </si>
  <si>
    <t>Total</t>
  </si>
  <si>
    <t>2026 LOYOLA MOCK PRACTICAL EXAMINATIONS BUDGET</t>
  </si>
  <si>
    <t xml:space="preserve">Request for funds for Loyola Mock practical examinations </t>
  </si>
  <si>
    <t xml:space="preserve">Irish potatoes Medium </t>
  </si>
  <si>
    <t>Razor blades</t>
  </si>
  <si>
    <t>Copper (II) sulphate</t>
  </si>
  <si>
    <t>Zinc (II) sulphate</t>
  </si>
  <si>
    <t>Iron (II) sulphate</t>
  </si>
  <si>
    <t>Sodium hydroxide</t>
  </si>
  <si>
    <t>Universal indicator</t>
  </si>
  <si>
    <t>Cells</t>
  </si>
  <si>
    <t>First choice</t>
  </si>
  <si>
    <t>Groundnuts seeds</t>
  </si>
  <si>
    <t>Chicken joints</t>
  </si>
  <si>
    <t>Cabbage</t>
  </si>
  <si>
    <t>Lemon</t>
  </si>
  <si>
    <t>Pine apples</t>
  </si>
  <si>
    <t>Tomatoes</t>
  </si>
  <si>
    <t>Bananas</t>
  </si>
  <si>
    <t>Cooking oil</t>
  </si>
  <si>
    <t>Salt</t>
  </si>
  <si>
    <t>kg</t>
  </si>
  <si>
    <t>Ragar</t>
  </si>
  <si>
    <t>Scrubbers</t>
  </si>
  <si>
    <t>pkts</t>
  </si>
  <si>
    <t>Wire mesh</t>
  </si>
  <si>
    <t>250ml pkts</t>
  </si>
  <si>
    <t>pieces</t>
  </si>
  <si>
    <t>dosens</t>
  </si>
  <si>
    <t>5l pales</t>
  </si>
  <si>
    <t xml:space="preserve"> Sodium bicarbonate</t>
  </si>
  <si>
    <t>Maize seeds</t>
  </si>
  <si>
    <t>heads</t>
  </si>
  <si>
    <t>bundle</t>
  </si>
  <si>
    <t xml:space="preserve">Hydrochloric acid </t>
  </si>
  <si>
    <t>5L bottle</t>
  </si>
  <si>
    <t>500ml bottle</t>
  </si>
  <si>
    <t>Litre</t>
  </si>
  <si>
    <t>500g bottle</t>
  </si>
  <si>
    <t>Ms. M. Chidothe</t>
  </si>
  <si>
    <t>Fr. Kenneth Simalalo SJ</t>
  </si>
  <si>
    <t xml:space="preserve">Budget lines; E11.5 = MK721,000.00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</si>
</sst>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MK&quot;#,##0.00;[Red]\-&quot;MK&quot;#,##0.00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3" fontId="1" fillId="0" borderId="1" xfId="1" applyFont="1" applyBorder="1"/>
    <xf numFmtId="0" fontId="3" fillId="0" borderId="0" xfId="0" applyFont="1"/>
    <xf numFmtId="0" fontId="0" fillId="0" borderId="1" xfId="0" applyBorder="1" applyAlignment="1">
      <alignment horizontal="right"/>
    </xf>
    <xf numFmtId="0" fontId="4" fillId="0" borderId="3" xfId="0" applyFont="1" applyBorder="1"/>
    <xf numFmtId="3" fontId="0" fillId="0" borderId="2" xfId="0" applyNumberFormat="1" applyBorder="1"/>
    <xf numFmtId="8" fontId="1" fillId="0" borderId="0" xfId="0" applyNumberFormat="1" applyFont="1"/>
    <xf numFmtId="0" fontId="5" fillId="0" borderId="0" xfId="0" applyFont="1"/>
    <xf numFmtId="8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workbookViewId="0">
      <selection activeCell="C10" sqref="C10"/>
    </sheetView>
  </sheetViews>
  <sheetFormatPr defaultRowHeight="15" x14ac:dyDescent="0.25"/>
  <cols>
    <col min="1" max="1" width="4.42578125" customWidth="1"/>
    <col min="4" max="4" width="13.140625" bestFit="1" customWidth="1"/>
    <col min="5" max="5" width="0.42578125" customWidth="1"/>
    <col min="6" max="6" width="1.140625" hidden="1" customWidth="1"/>
    <col min="8" max="8" width="9" customWidth="1"/>
    <col min="9" max="9" width="0.28515625" hidden="1" customWidth="1"/>
    <col min="11" max="11" width="1.5703125" customWidth="1"/>
    <col min="12" max="12" width="13.140625" customWidth="1"/>
    <col min="13" max="13" width="9.140625" hidden="1" customWidth="1"/>
    <col min="14" max="14" width="8.85546875" customWidth="1"/>
    <col min="15" max="15" width="9.140625" hidden="1" customWidth="1"/>
    <col min="16" max="16" width="0.28515625" customWidth="1"/>
    <col min="17" max="17" width="9.140625" hidden="1" customWidth="1"/>
    <col min="18" max="18" width="13" customWidth="1"/>
  </cols>
  <sheetData>
    <row r="1" spans="1:18" x14ac:dyDescent="0.25">
      <c r="E1" s="1" t="s">
        <v>44</v>
      </c>
      <c r="F1" s="1"/>
      <c r="G1" s="1"/>
      <c r="H1" s="1"/>
    </row>
    <row r="2" spans="1:18" x14ac:dyDescent="0.25">
      <c r="E2" s="1"/>
      <c r="F2" s="1"/>
      <c r="G2" s="1"/>
      <c r="H2" s="1"/>
    </row>
    <row r="3" spans="1:18" x14ac:dyDescent="0.25">
      <c r="B3" t="s">
        <v>45</v>
      </c>
      <c r="G3" s="1"/>
      <c r="H3" s="1"/>
    </row>
    <row r="4" spans="1:18" x14ac:dyDescent="0.25">
      <c r="B4" t="s">
        <v>46</v>
      </c>
      <c r="G4" s="1"/>
      <c r="H4" s="1"/>
    </row>
    <row r="5" spans="1:18" x14ac:dyDescent="0.25">
      <c r="C5" t="s">
        <v>47</v>
      </c>
      <c r="E5" s="1"/>
      <c r="F5" s="1"/>
      <c r="G5" s="1"/>
      <c r="H5" s="1"/>
    </row>
    <row r="6" spans="1:18" s="1" customFormat="1" x14ac:dyDescent="0.25">
      <c r="C6" s="1" t="s">
        <v>48</v>
      </c>
      <c r="D6" s="16">
        <v>588950</v>
      </c>
    </row>
    <row r="7" spans="1:18" ht="15.75" thickBot="1" x14ac:dyDescent="0.3">
      <c r="E7" s="1"/>
      <c r="F7" s="1"/>
      <c r="G7" s="1"/>
      <c r="H7" s="1"/>
    </row>
    <row r="8" spans="1:18" s="1" customFormat="1" ht="15.75" thickBot="1" x14ac:dyDescent="0.3">
      <c r="A8" s="3" t="s">
        <v>41</v>
      </c>
      <c r="B8" s="5" t="s">
        <v>0</v>
      </c>
      <c r="C8" s="6"/>
      <c r="D8" s="6"/>
      <c r="E8" s="6"/>
      <c r="F8" s="7"/>
      <c r="G8" s="5" t="s">
        <v>1</v>
      </c>
      <c r="H8" s="6"/>
      <c r="I8" s="7"/>
      <c r="J8" s="5" t="s">
        <v>2</v>
      </c>
      <c r="K8" s="7"/>
      <c r="L8" s="4" t="s">
        <v>3</v>
      </c>
      <c r="M8" s="4"/>
      <c r="N8" s="5" t="s">
        <v>4</v>
      </c>
      <c r="O8" s="6"/>
      <c r="P8" s="6"/>
      <c r="Q8" s="6"/>
      <c r="R8" s="7"/>
    </row>
    <row r="9" spans="1:18" ht="15.75" thickBot="1" x14ac:dyDescent="0.3">
      <c r="A9" s="13">
        <v>1</v>
      </c>
      <c r="B9" s="8" t="s">
        <v>20</v>
      </c>
      <c r="C9" s="9"/>
      <c r="D9" s="9"/>
      <c r="E9" s="9"/>
      <c r="F9" s="10"/>
      <c r="G9" s="8">
        <v>1</v>
      </c>
      <c r="H9" s="9"/>
      <c r="I9" s="10"/>
      <c r="J9" s="15">
        <v>130000</v>
      </c>
      <c r="K9" s="10"/>
      <c r="L9" s="2">
        <f>J9*G9</f>
        <v>130000</v>
      </c>
      <c r="M9" s="2"/>
      <c r="N9" s="8" t="s">
        <v>42</v>
      </c>
      <c r="O9" s="9"/>
      <c r="P9" s="9"/>
      <c r="Q9" s="9"/>
      <c r="R9" s="10"/>
    </row>
    <row r="10" spans="1:18" ht="15.75" thickBot="1" x14ac:dyDescent="0.3">
      <c r="A10" s="13">
        <v>2</v>
      </c>
      <c r="B10" s="8" t="s">
        <v>19</v>
      </c>
      <c r="C10" s="9"/>
      <c r="D10" s="9"/>
      <c r="E10" s="9"/>
      <c r="F10" s="10"/>
      <c r="G10" s="8">
        <v>1</v>
      </c>
      <c r="H10" s="9"/>
      <c r="I10" s="10"/>
      <c r="J10" s="15">
        <v>130000</v>
      </c>
      <c r="K10" s="10"/>
      <c r="L10" s="2">
        <f t="shared" ref="L10:L30" si="0">J10*G10</f>
        <v>130000</v>
      </c>
      <c r="M10" s="2"/>
      <c r="N10" s="8" t="s">
        <v>42</v>
      </c>
      <c r="O10" s="14"/>
      <c r="P10" s="14"/>
      <c r="Q10" s="14"/>
      <c r="R10" s="10"/>
    </row>
    <row r="11" spans="1:18" ht="15.75" thickBot="1" x14ac:dyDescent="0.3">
      <c r="A11" s="2">
        <v>3</v>
      </c>
      <c r="B11" s="8" t="s">
        <v>21</v>
      </c>
      <c r="C11" s="9"/>
      <c r="D11" s="9"/>
      <c r="E11" s="9"/>
      <c r="F11" s="10"/>
      <c r="G11" s="8">
        <v>2</v>
      </c>
      <c r="H11" s="9"/>
      <c r="I11" s="10"/>
      <c r="J11" s="8">
        <v>3000</v>
      </c>
      <c r="K11" s="10"/>
      <c r="L11" s="2">
        <f t="shared" si="0"/>
        <v>6000</v>
      </c>
      <c r="M11" s="2"/>
      <c r="N11" s="8" t="s">
        <v>42</v>
      </c>
      <c r="O11" s="9"/>
      <c r="P11" s="9"/>
      <c r="Q11" s="9"/>
      <c r="R11" s="10"/>
    </row>
    <row r="12" spans="1:18" ht="15.75" thickBot="1" x14ac:dyDescent="0.3">
      <c r="A12" s="2">
        <v>4</v>
      </c>
      <c r="B12" s="8" t="s">
        <v>22</v>
      </c>
      <c r="C12" s="9"/>
      <c r="D12" s="9"/>
      <c r="E12" s="9"/>
      <c r="F12" s="10"/>
      <c r="G12" s="8">
        <v>2</v>
      </c>
      <c r="H12" s="9"/>
      <c r="I12" s="10"/>
      <c r="J12" s="8">
        <v>14000</v>
      </c>
      <c r="K12" s="10"/>
      <c r="L12" s="2">
        <f t="shared" si="0"/>
        <v>28000</v>
      </c>
      <c r="M12" s="2"/>
      <c r="N12" s="8" t="s">
        <v>42</v>
      </c>
      <c r="O12" s="9"/>
      <c r="P12" s="9"/>
      <c r="Q12" s="9"/>
      <c r="R12" s="10"/>
    </row>
    <row r="13" spans="1:18" ht="15.75" thickBot="1" x14ac:dyDescent="0.3">
      <c r="A13" s="2">
        <v>5</v>
      </c>
      <c r="B13" s="8" t="s">
        <v>23</v>
      </c>
      <c r="C13" s="9"/>
      <c r="D13" s="9"/>
      <c r="E13" s="9"/>
      <c r="F13" s="10"/>
      <c r="G13" s="8">
        <v>1</v>
      </c>
      <c r="H13" s="9"/>
      <c r="I13" s="10"/>
      <c r="J13" s="8">
        <v>25000</v>
      </c>
      <c r="K13" s="10"/>
      <c r="L13" s="2">
        <f t="shared" si="0"/>
        <v>25000</v>
      </c>
      <c r="M13" s="2"/>
      <c r="N13" s="8" t="s">
        <v>42</v>
      </c>
      <c r="O13" s="9"/>
      <c r="P13" s="9"/>
      <c r="Q13" s="9"/>
      <c r="R13" s="10"/>
    </row>
    <row r="14" spans="1:18" ht="15.75" thickBot="1" x14ac:dyDescent="0.3">
      <c r="A14" s="2">
        <v>6</v>
      </c>
      <c r="B14" s="8" t="s">
        <v>24</v>
      </c>
      <c r="C14" s="9"/>
      <c r="D14" s="9"/>
      <c r="E14" s="9"/>
      <c r="F14" s="10"/>
      <c r="G14" s="8">
        <v>1</v>
      </c>
      <c r="H14" s="9"/>
      <c r="I14" s="10"/>
      <c r="J14" s="8">
        <v>16500</v>
      </c>
      <c r="K14" s="10"/>
      <c r="L14" s="2">
        <f t="shared" si="0"/>
        <v>16500</v>
      </c>
      <c r="M14" s="2"/>
      <c r="N14" s="8" t="s">
        <v>43</v>
      </c>
      <c r="O14" s="9"/>
      <c r="P14" s="9"/>
      <c r="Q14" s="9"/>
      <c r="R14" s="10"/>
    </row>
    <row r="15" spans="1:18" ht="15.75" thickBot="1" x14ac:dyDescent="0.3">
      <c r="A15" s="2">
        <v>7</v>
      </c>
      <c r="B15" s="8" t="s">
        <v>25</v>
      </c>
      <c r="C15" s="9"/>
      <c r="D15" s="9"/>
      <c r="E15" s="9"/>
      <c r="F15" s="10"/>
      <c r="G15" s="8">
        <v>5</v>
      </c>
      <c r="H15" s="9"/>
      <c r="I15" s="10"/>
      <c r="J15" s="8">
        <v>5000</v>
      </c>
      <c r="K15" s="10"/>
      <c r="L15" s="2">
        <f t="shared" si="0"/>
        <v>25000</v>
      </c>
      <c r="M15" s="2"/>
      <c r="N15" s="8" t="s">
        <v>42</v>
      </c>
      <c r="O15" s="9"/>
      <c r="P15" s="9"/>
      <c r="Q15" s="9"/>
      <c r="R15" s="10"/>
    </row>
    <row r="16" spans="1:18" ht="15.75" thickBot="1" x14ac:dyDescent="0.3">
      <c r="A16" s="2">
        <v>8</v>
      </c>
      <c r="B16" s="8" t="s">
        <v>26</v>
      </c>
      <c r="C16" s="9"/>
      <c r="D16" s="9"/>
      <c r="E16" s="9"/>
      <c r="F16" s="10"/>
      <c r="G16" s="8">
        <v>1</v>
      </c>
      <c r="H16" s="9"/>
      <c r="I16" s="10"/>
      <c r="J16" s="8">
        <v>72500</v>
      </c>
      <c r="K16" s="10"/>
      <c r="L16" s="2">
        <f t="shared" si="0"/>
        <v>72500</v>
      </c>
      <c r="M16" s="2"/>
      <c r="N16" s="8" t="s">
        <v>43</v>
      </c>
      <c r="O16" s="9"/>
      <c r="P16" s="9"/>
      <c r="Q16" s="9"/>
      <c r="R16" s="10"/>
    </row>
    <row r="17" spans="1:18" ht="15.75" thickBot="1" x14ac:dyDescent="0.3">
      <c r="A17" s="2">
        <v>9</v>
      </c>
      <c r="B17" s="8" t="s">
        <v>27</v>
      </c>
      <c r="C17" s="9"/>
      <c r="D17" s="9"/>
      <c r="E17" s="9"/>
      <c r="F17" s="10"/>
      <c r="G17" s="8">
        <v>1</v>
      </c>
      <c r="H17" s="9"/>
      <c r="I17" s="10"/>
      <c r="J17" s="8">
        <v>30000</v>
      </c>
      <c r="K17" s="10"/>
      <c r="L17" s="2">
        <f t="shared" si="0"/>
        <v>30000</v>
      </c>
      <c r="M17" s="2"/>
      <c r="N17" s="8" t="s">
        <v>43</v>
      </c>
      <c r="O17" s="9"/>
      <c r="P17" s="9"/>
      <c r="Q17" s="9"/>
      <c r="R17" s="10"/>
    </row>
    <row r="18" spans="1:18" ht="15.75" thickBot="1" x14ac:dyDescent="0.3">
      <c r="A18" s="2">
        <v>10</v>
      </c>
      <c r="B18" s="8" t="s">
        <v>28</v>
      </c>
      <c r="C18" s="9"/>
      <c r="D18" s="9"/>
      <c r="E18" s="9"/>
      <c r="F18" s="10"/>
      <c r="G18" s="8">
        <v>1</v>
      </c>
      <c r="H18" s="9"/>
      <c r="I18" s="10"/>
      <c r="J18" s="8">
        <v>10000</v>
      </c>
      <c r="K18" s="10"/>
      <c r="L18" s="2">
        <f t="shared" si="0"/>
        <v>10000</v>
      </c>
      <c r="M18" s="2"/>
      <c r="N18" s="8" t="s">
        <v>42</v>
      </c>
      <c r="O18" s="9"/>
      <c r="P18" s="9"/>
      <c r="Q18" s="9"/>
      <c r="R18" s="10"/>
    </row>
    <row r="19" spans="1:18" ht="15.75" thickBot="1" x14ac:dyDescent="0.3">
      <c r="A19" s="2">
        <v>11</v>
      </c>
      <c r="B19" s="8" t="s">
        <v>29</v>
      </c>
      <c r="C19" s="9"/>
      <c r="D19" s="9"/>
      <c r="E19" s="9"/>
      <c r="F19" s="10"/>
      <c r="G19" s="8">
        <v>25</v>
      </c>
      <c r="H19" s="9"/>
      <c r="I19" s="10"/>
      <c r="J19" s="8">
        <v>9600</v>
      </c>
      <c r="K19" s="10"/>
      <c r="L19" s="2">
        <f t="shared" si="0"/>
        <v>240000</v>
      </c>
      <c r="M19" s="2"/>
      <c r="N19" s="8" t="s">
        <v>42</v>
      </c>
      <c r="O19" s="9"/>
      <c r="P19" s="9"/>
      <c r="Q19" s="9"/>
      <c r="R19" s="10"/>
    </row>
    <row r="20" spans="1:18" ht="15.75" thickBot="1" x14ac:dyDescent="0.3">
      <c r="A20" s="2">
        <v>12</v>
      </c>
      <c r="B20" s="8" t="s">
        <v>30</v>
      </c>
      <c r="C20" s="9"/>
      <c r="D20" s="9"/>
      <c r="E20" s="9"/>
      <c r="F20" s="10"/>
      <c r="G20" s="8">
        <v>1.5</v>
      </c>
      <c r="H20" s="9"/>
      <c r="I20" s="10"/>
      <c r="J20" s="8">
        <v>10000</v>
      </c>
      <c r="K20" s="10"/>
      <c r="L20" s="2">
        <f t="shared" si="0"/>
        <v>15000</v>
      </c>
      <c r="M20" s="2"/>
      <c r="N20" s="8" t="s">
        <v>42</v>
      </c>
      <c r="O20" s="9"/>
      <c r="P20" s="9"/>
      <c r="Q20" s="9"/>
      <c r="R20" s="10"/>
    </row>
    <row r="21" spans="1:18" ht="15.75" thickBot="1" x14ac:dyDescent="0.3">
      <c r="A21" s="2">
        <v>13</v>
      </c>
      <c r="B21" s="8" t="s">
        <v>36</v>
      </c>
      <c r="C21" s="9"/>
      <c r="D21" s="9"/>
      <c r="E21" s="9"/>
      <c r="F21" s="10"/>
      <c r="G21" s="8">
        <v>90</v>
      </c>
      <c r="H21" s="9"/>
      <c r="I21" s="10"/>
      <c r="J21" s="8">
        <v>300</v>
      </c>
      <c r="K21" s="10"/>
      <c r="L21" s="2">
        <f t="shared" si="0"/>
        <v>27000</v>
      </c>
      <c r="M21" s="2"/>
      <c r="N21" s="8" t="s">
        <v>42</v>
      </c>
      <c r="O21" s="9"/>
      <c r="P21" s="9"/>
      <c r="Q21" s="9"/>
      <c r="R21" s="10"/>
    </row>
    <row r="22" spans="1:18" ht="15.75" thickBot="1" x14ac:dyDescent="0.3">
      <c r="A22" s="2">
        <v>14</v>
      </c>
      <c r="B22" s="8" t="s">
        <v>37</v>
      </c>
      <c r="C22" s="9"/>
      <c r="D22" s="9"/>
      <c r="E22" s="9"/>
      <c r="F22" s="10"/>
      <c r="G22" s="8">
        <v>30</v>
      </c>
      <c r="H22" s="9"/>
      <c r="I22" s="10"/>
      <c r="J22" s="8">
        <v>100</v>
      </c>
      <c r="K22" s="10"/>
      <c r="L22" s="2">
        <f t="shared" si="0"/>
        <v>3000</v>
      </c>
      <c r="M22" s="2"/>
      <c r="N22" s="8" t="s">
        <v>42</v>
      </c>
      <c r="O22" s="9"/>
      <c r="P22" s="9"/>
      <c r="Q22" s="9"/>
      <c r="R22" s="10"/>
    </row>
    <row r="23" spans="1:18" ht="15.75" thickBot="1" x14ac:dyDescent="0.3">
      <c r="A23" s="2">
        <v>15</v>
      </c>
      <c r="B23" s="8" t="s">
        <v>31</v>
      </c>
      <c r="C23" s="9"/>
      <c r="D23" s="9"/>
      <c r="E23" s="9"/>
      <c r="F23" s="10"/>
      <c r="G23" s="8">
        <v>15</v>
      </c>
      <c r="H23" s="9"/>
      <c r="I23" s="10"/>
      <c r="J23" s="8">
        <v>300</v>
      </c>
      <c r="K23" s="10"/>
      <c r="L23" s="2">
        <f t="shared" si="0"/>
        <v>4500</v>
      </c>
      <c r="M23" s="2"/>
      <c r="N23" s="8" t="s">
        <v>42</v>
      </c>
      <c r="O23" s="9"/>
      <c r="P23" s="9"/>
      <c r="Q23" s="9"/>
      <c r="R23" s="10"/>
    </row>
    <row r="24" spans="1:18" ht="15.75" thickBot="1" x14ac:dyDescent="0.3">
      <c r="A24" s="2">
        <v>16</v>
      </c>
      <c r="B24" s="8" t="s">
        <v>32</v>
      </c>
      <c r="C24" s="9"/>
      <c r="D24" s="9"/>
      <c r="E24" s="9"/>
      <c r="F24" s="10"/>
      <c r="G24" s="8">
        <v>15</v>
      </c>
      <c r="H24" s="9"/>
      <c r="I24" s="10"/>
      <c r="J24" s="8">
        <v>200</v>
      </c>
      <c r="K24" s="10"/>
      <c r="L24" s="2">
        <f t="shared" si="0"/>
        <v>3000</v>
      </c>
      <c r="M24" s="2"/>
      <c r="N24" s="8" t="s">
        <v>42</v>
      </c>
      <c r="O24" s="9"/>
      <c r="P24" s="9"/>
      <c r="Q24" s="9"/>
      <c r="R24" s="10"/>
    </row>
    <row r="25" spans="1:18" ht="15.75" thickBot="1" x14ac:dyDescent="0.3">
      <c r="A25" s="2">
        <v>17</v>
      </c>
      <c r="B25" s="8" t="s">
        <v>33</v>
      </c>
      <c r="C25" s="9"/>
      <c r="D25" s="9"/>
      <c r="E25" s="9"/>
      <c r="F25" s="10"/>
      <c r="G25" s="8">
        <v>15</v>
      </c>
      <c r="H25" s="9"/>
      <c r="I25" s="10"/>
      <c r="J25" s="8">
        <v>330</v>
      </c>
      <c r="K25" s="10"/>
      <c r="L25" s="2">
        <f t="shared" si="0"/>
        <v>4950</v>
      </c>
      <c r="M25" s="2"/>
      <c r="N25" s="8" t="s">
        <v>42</v>
      </c>
      <c r="O25" s="9"/>
      <c r="P25" s="9"/>
      <c r="Q25" s="9"/>
      <c r="R25" s="10"/>
    </row>
    <row r="26" spans="1:18" ht="15.75" thickBot="1" x14ac:dyDescent="0.3">
      <c r="A26" s="2">
        <v>18</v>
      </c>
      <c r="B26" s="8" t="s">
        <v>34</v>
      </c>
      <c r="C26" s="9"/>
      <c r="D26" s="9"/>
      <c r="E26" s="9"/>
      <c r="F26" s="10"/>
      <c r="G26" s="8">
        <v>4</v>
      </c>
      <c r="H26" s="9"/>
      <c r="I26" s="10"/>
      <c r="J26" s="8">
        <v>500</v>
      </c>
      <c r="K26" s="10"/>
      <c r="L26" s="2">
        <f t="shared" si="0"/>
        <v>2000</v>
      </c>
      <c r="M26" s="2"/>
      <c r="N26" s="8" t="s">
        <v>42</v>
      </c>
      <c r="O26" s="9"/>
      <c r="P26" s="9"/>
      <c r="Q26" s="9"/>
      <c r="R26" s="10"/>
    </row>
    <row r="27" spans="1:18" ht="15.75" thickBot="1" x14ac:dyDescent="0.3">
      <c r="A27" s="2">
        <v>19</v>
      </c>
      <c r="B27" s="8" t="s">
        <v>35</v>
      </c>
      <c r="C27" s="9"/>
      <c r="D27" s="9"/>
      <c r="E27" s="9"/>
      <c r="F27" s="10"/>
      <c r="G27" s="8">
        <v>1</v>
      </c>
      <c r="H27" s="9"/>
      <c r="I27" s="10"/>
      <c r="J27" s="8">
        <v>9000</v>
      </c>
      <c r="K27" s="10"/>
      <c r="L27" s="2">
        <f t="shared" si="0"/>
        <v>9000</v>
      </c>
      <c r="M27" s="2"/>
      <c r="N27" s="8" t="s">
        <v>42</v>
      </c>
      <c r="O27" s="9"/>
      <c r="P27" s="9"/>
      <c r="Q27" s="9"/>
      <c r="R27" s="10"/>
    </row>
    <row r="28" spans="1:18" ht="15.75" thickBot="1" x14ac:dyDescent="0.3">
      <c r="A28" s="2">
        <v>20</v>
      </c>
      <c r="B28" s="8" t="s">
        <v>38</v>
      </c>
      <c r="C28" s="9"/>
      <c r="D28" s="9"/>
      <c r="E28" s="9"/>
      <c r="F28" s="10"/>
      <c r="G28" s="8">
        <v>2</v>
      </c>
      <c r="H28" s="9"/>
      <c r="I28" s="10"/>
      <c r="J28" s="8">
        <v>8000</v>
      </c>
      <c r="K28" s="10"/>
      <c r="L28" s="2">
        <f t="shared" si="0"/>
        <v>16000</v>
      </c>
      <c r="M28" s="2"/>
      <c r="N28" s="8" t="s">
        <v>42</v>
      </c>
      <c r="O28" s="9"/>
      <c r="P28" s="9"/>
      <c r="Q28" s="9"/>
      <c r="R28" s="10"/>
    </row>
    <row r="29" spans="1:18" ht="15.75" thickBot="1" x14ac:dyDescent="0.3">
      <c r="A29" s="2">
        <v>21</v>
      </c>
      <c r="B29" s="8" t="s">
        <v>39</v>
      </c>
      <c r="C29" s="9"/>
      <c r="D29" s="9"/>
      <c r="E29" s="9"/>
      <c r="F29" s="10"/>
      <c r="G29" s="8">
        <v>1</v>
      </c>
      <c r="H29" s="9"/>
      <c r="I29" s="10"/>
      <c r="J29" s="8">
        <v>3500</v>
      </c>
      <c r="K29" s="10"/>
      <c r="L29" s="2">
        <f t="shared" si="0"/>
        <v>3500</v>
      </c>
      <c r="M29" s="2"/>
      <c r="N29" s="8" t="s">
        <v>42</v>
      </c>
      <c r="O29" s="9"/>
      <c r="P29" s="9"/>
      <c r="Q29" s="9"/>
      <c r="R29" s="10"/>
    </row>
    <row r="30" spans="1:18" ht="15.75" thickBot="1" x14ac:dyDescent="0.3">
      <c r="A30" s="2">
        <v>22</v>
      </c>
      <c r="B30" s="8" t="s">
        <v>40</v>
      </c>
      <c r="C30" s="9"/>
      <c r="D30" s="9"/>
      <c r="E30" s="9"/>
      <c r="F30" s="10"/>
      <c r="G30" s="8">
        <v>2</v>
      </c>
      <c r="H30" s="9"/>
      <c r="I30" s="10"/>
      <c r="J30" s="8">
        <v>24000</v>
      </c>
      <c r="K30" s="10"/>
      <c r="L30" s="2">
        <f t="shared" si="0"/>
        <v>48000</v>
      </c>
      <c r="M30" s="2"/>
      <c r="N30" s="8" t="s">
        <v>42</v>
      </c>
      <c r="O30" s="9"/>
      <c r="P30" s="9"/>
      <c r="Q30" s="9"/>
      <c r="R30" s="10"/>
    </row>
    <row r="31" spans="1:18" s="1" customFormat="1" ht="15.75" thickBot="1" x14ac:dyDescent="0.3">
      <c r="A31" s="4"/>
      <c r="B31" s="5"/>
      <c r="C31" s="6"/>
      <c r="D31" s="6" t="s">
        <v>14</v>
      </c>
      <c r="E31" s="7"/>
      <c r="F31" s="6"/>
      <c r="G31" s="5"/>
      <c r="H31" s="7"/>
      <c r="I31" s="6"/>
      <c r="J31" s="5"/>
      <c r="K31" s="7"/>
      <c r="L31" s="11">
        <f>SUM(L11:L30)</f>
        <v>588950</v>
      </c>
      <c r="M31" s="6"/>
      <c r="N31" s="5"/>
      <c r="O31" s="6"/>
      <c r="P31" s="6"/>
      <c r="Q31" s="6"/>
      <c r="R31" s="7"/>
    </row>
    <row r="32" spans="1:18" x14ac:dyDescent="0.25">
      <c r="B32" t="s">
        <v>5</v>
      </c>
    </row>
    <row r="33" spans="2:10" x14ac:dyDescent="0.25">
      <c r="C33" t="s">
        <v>6</v>
      </c>
    </row>
    <row r="34" spans="2:10" x14ac:dyDescent="0.25">
      <c r="C34" t="s">
        <v>7</v>
      </c>
    </row>
    <row r="35" spans="2:10" ht="15.75" x14ac:dyDescent="0.25">
      <c r="C35" t="s">
        <v>8</v>
      </c>
      <c r="H35" s="12" t="s">
        <v>15</v>
      </c>
      <c r="I35" s="1"/>
      <c r="J35" s="1"/>
    </row>
    <row r="36" spans="2:10" ht="15.75" x14ac:dyDescent="0.25">
      <c r="C36" t="s">
        <v>12</v>
      </c>
      <c r="H36" s="12" t="s">
        <v>16</v>
      </c>
      <c r="I36" s="1"/>
      <c r="J36" s="1"/>
    </row>
    <row r="37" spans="2:10" x14ac:dyDescent="0.25">
      <c r="C37" t="s">
        <v>9</v>
      </c>
    </row>
    <row r="38" spans="2:10" x14ac:dyDescent="0.25">
      <c r="C38" t="s">
        <v>13</v>
      </c>
    </row>
    <row r="40" spans="2:10" ht="15.75" x14ac:dyDescent="0.25">
      <c r="B40" s="1" t="s">
        <v>10</v>
      </c>
      <c r="C40" s="1"/>
      <c r="D40" s="1"/>
      <c r="H40" s="12" t="s">
        <v>17</v>
      </c>
      <c r="I40" s="1"/>
      <c r="J40" s="1"/>
    </row>
    <row r="41" spans="2:10" ht="15.75" x14ac:dyDescent="0.25">
      <c r="B41" s="1" t="s">
        <v>11</v>
      </c>
      <c r="C41" s="1"/>
      <c r="D41" s="1"/>
      <c r="H41" s="12" t="s">
        <v>18</v>
      </c>
      <c r="I41" s="1"/>
      <c r="J41" s="1"/>
    </row>
  </sheetData>
  <pageMargins left="0.11811023622047245" right="0.19685039370078741" top="0.74803149606299213" bottom="0.74803149606299213" header="0.31496062992125984" footer="0.31496062992125984"/>
  <pageSetup paperSize="9" orientation="portrait" horizont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44"/>
  <sheetViews>
    <sheetView tabSelected="1" workbookViewId="0">
      <selection activeCell="H10" sqref="H10"/>
    </sheetView>
  </sheetViews>
  <sheetFormatPr defaultRowHeight="15" x14ac:dyDescent="0.25"/>
  <cols>
    <col min="1" max="1" width="4" customWidth="1"/>
    <col min="3" max="3" width="5.140625" customWidth="1"/>
    <col min="4" max="4" width="8.7109375" customWidth="1"/>
    <col min="5" max="5" width="0.28515625" hidden="1" customWidth="1"/>
    <col min="6" max="6" width="0.140625" hidden="1" customWidth="1"/>
    <col min="7" max="7" width="7.42578125" customWidth="1"/>
    <col min="8" max="8" width="10.7109375" customWidth="1"/>
    <col min="9" max="9" width="9.140625" hidden="1" customWidth="1"/>
    <col min="10" max="10" width="8.42578125" customWidth="1"/>
    <col min="11" max="11" width="0.7109375" hidden="1" customWidth="1"/>
    <col min="12" max="12" width="12.28515625" customWidth="1"/>
    <col min="13" max="13" width="0.5703125" hidden="1" customWidth="1"/>
    <col min="14" max="14" width="9.140625" customWidth="1"/>
    <col min="15" max="15" width="8.5703125" customWidth="1"/>
    <col min="16" max="16" width="3.5703125" customWidth="1"/>
    <col min="17" max="17" width="9.140625" hidden="1" customWidth="1"/>
    <col min="18" max="18" width="1.140625" customWidth="1"/>
  </cols>
  <sheetData>
    <row r="2" spans="1:18" s="12" customFormat="1" ht="15.75" x14ac:dyDescent="0.25">
      <c r="B2" s="12" t="s">
        <v>49</v>
      </c>
    </row>
    <row r="3" spans="1:18" s="17" customFormat="1" ht="15.75" x14ac:dyDescent="0.25">
      <c r="E3" s="12"/>
      <c r="F3" s="12"/>
      <c r="G3" s="12"/>
      <c r="H3" s="12"/>
    </row>
    <row r="4" spans="1:18" s="17" customFormat="1" ht="15.75" x14ac:dyDescent="0.25">
      <c r="B4" s="17" t="s">
        <v>50</v>
      </c>
      <c r="G4" s="19"/>
      <c r="H4" s="12"/>
    </row>
    <row r="5" spans="1:18" s="17" customFormat="1" ht="15.75" x14ac:dyDescent="0.25">
      <c r="B5" s="17" t="s">
        <v>89</v>
      </c>
      <c r="G5" s="12"/>
      <c r="H5" s="12"/>
    </row>
    <row r="6" spans="1:18" s="17" customFormat="1" ht="15.75" x14ac:dyDescent="0.25">
      <c r="A6" s="12"/>
      <c r="B6" s="12"/>
      <c r="C6" s="12"/>
      <c r="D6" s="18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.75" thickBot="1" x14ac:dyDescent="0.3">
      <c r="E7" s="1"/>
      <c r="F7" s="1"/>
      <c r="G7" s="1"/>
      <c r="H7" s="1"/>
    </row>
    <row r="8" spans="1:18" ht="15.75" thickBot="1" x14ac:dyDescent="0.3">
      <c r="A8" s="3" t="s">
        <v>41</v>
      </c>
      <c r="B8" s="5" t="s">
        <v>0</v>
      </c>
      <c r="C8" s="6"/>
      <c r="D8" s="6"/>
      <c r="E8" s="6"/>
      <c r="F8" s="7"/>
      <c r="G8" s="26" t="s">
        <v>1</v>
      </c>
      <c r="H8" s="27"/>
      <c r="I8" s="7"/>
      <c r="J8" s="5" t="s">
        <v>2</v>
      </c>
      <c r="K8" s="7"/>
      <c r="L8" s="4" t="s">
        <v>3</v>
      </c>
      <c r="M8" s="4"/>
      <c r="N8" s="5" t="s">
        <v>4</v>
      </c>
      <c r="O8" s="6"/>
      <c r="P8" s="6"/>
      <c r="Q8" s="6"/>
      <c r="R8" s="7"/>
    </row>
    <row r="9" spans="1:18" ht="15.75" thickBot="1" x14ac:dyDescent="0.3">
      <c r="A9" s="13">
        <v>1</v>
      </c>
      <c r="B9" s="24" t="s">
        <v>51</v>
      </c>
      <c r="C9" s="25"/>
      <c r="D9" s="25"/>
      <c r="E9" s="9"/>
      <c r="F9" s="10"/>
      <c r="G9" s="20">
        <v>4</v>
      </c>
      <c r="H9" s="21" t="s">
        <v>77</v>
      </c>
      <c r="I9" s="10"/>
      <c r="J9" s="15">
        <v>17000</v>
      </c>
      <c r="K9" s="10"/>
      <c r="L9" s="2">
        <f>G9*J9</f>
        <v>68000</v>
      </c>
      <c r="M9" s="2"/>
      <c r="N9" s="8" t="s">
        <v>42</v>
      </c>
      <c r="O9" s="9"/>
      <c r="P9" s="9"/>
      <c r="Q9" s="9"/>
      <c r="R9" s="10"/>
    </row>
    <row r="10" spans="1:18" ht="15.75" thickBot="1" x14ac:dyDescent="0.3">
      <c r="A10" s="13">
        <v>2</v>
      </c>
      <c r="B10" s="24" t="s">
        <v>52</v>
      </c>
      <c r="C10" s="25"/>
      <c r="D10" s="25"/>
      <c r="E10" s="9"/>
      <c r="F10" s="10"/>
      <c r="G10" s="20">
        <v>150</v>
      </c>
      <c r="H10" s="9" t="s">
        <v>75</v>
      </c>
      <c r="I10" s="10"/>
      <c r="J10" s="15">
        <v>300</v>
      </c>
      <c r="K10" s="10"/>
      <c r="L10" s="2">
        <f t="shared" ref="L10:L32" si="0">G10*J10</f>
        <v>45000</v>
      </c>
      <c r="M10" s="2"/>
      <c r="N10" s="8" t="s">
        <v>42</v>
      </c>
      <c r="O10" s="14"/>
      <c r="P10" s="14"/>
      <c r="Q10" s="14"/>
      <c r="R10" s="10"/>
    </row>
    <row r="11" spans="1:18" ht="15.75" thickBot="1" x14ac:dyDescent="0.3">
      <c r="A11" s="2">
        <v>3</v>
      </c>
      <c r="B11" s="24" t="s">
        <v>53</v>
      </c>
      <c r="C11" s="25"/>
      <c r="D11" s="25"/>
      <c r="E11" s="9"/>
      <c r="F11" s="10"/>
      <c r="G11" s="20">
        <v>1</v>
      </c>
      <c r="H11" s="9" t="s">
        <v>86</v>
      </c>
      <c r="I11" s="10"/>
      <c r="J11" s="8">
        <v>35000</v>
      </c>
      <c r="K11" s="10"/>
      <c r="L11" s="2">
        <f t="shared" si="0"/>
        <v>35000</v>
      </c>
      <c r="M11" s="2"/>
      <c r="N11" s="8" t="s">
        <v>43</v>
      </c>
      <c r="O11" s="9"/>
      <c r="P11" s="9"/>
      <c r="Q11" s="9"/>
      <c r="R11" s="10"/>
    </row>
    <row r="12" spans="1:18" ht="15.75" thickBot="1" x14ac:dyDescent="0.3">
      <c r="A12" s="2">
        <v>4</v>
      </c>
      <c r="B12" s="24" t="s">
        <v>54</v>
      </c>
      <c r="C12" s="25"/>
      <c r="D12" s="25"/>
      <c r="E12" s="9"/>
      <c r="F12" s="10"/>
      <c r="G12" s="20">
        <v>1</v>
      </c>
      <c r="H12" s="9" t="s">
        <v>86</v>
      </c>
      <c r="I12" s="10"/>
      <c r="J12" s="8">
        <v>35000</v>
      </c>
      <c r="K12" s="10"/>
      <c r="L12" s="2">
        <f t="shared" si="0"/>
        <v>35000</v>
      </c>
      <c r="M12" s="2"/>
      <c r="N12" s="8" t="s">
        <v>43</v>
      </c>
      <c r="O12" s="9"/>
      <c r="P12" s="9"/>
      <c r="Q12" s="9"/>
      <c r="R12" s="10"/>
    </row>
    <row r="13" spans="1:18" ht="15.75" thickBot="1" x14ac:dyDescent="0.3">
      <c r="A13" s="2">
        <v>5</v>
      </c>
      <c r="B13" s="24" t="s">
        <v>55</v>
      </c>
      <c r="C13" s="25"/>
      <c r="D13" s="25"/>
      <c r="E13" s="9"/>
      <c r="F13" s="10"/>
      <c r="G13" s="20">
        <v>1</v>
      </c>
      <c r="H13" s="9" t="s">
        <v>86</v>
      </c>
      <c r="I13" s="10"/>
      <c r="J13" s="8">
        <v>38000</v>
      </c>
      <c r="K13" s="10"/>
      <c r="L13" s="2">
        <f t="shared" si="0"/>
        <v>38000</v>
      </c>
      <c r="M13" s="2"/>
      <c r="N13" s="8" t="s">
        <v>43</v>
      </c>
      <c r="O13" s="9"/>
      <c r="P13" s="9"/>
      <c r="Q13" s="9"/>
      <c r="R13" s="10"/>
    </row>
    <row r="14" spans="1:18" ht="15.75" thickBot="1" x14ac:dyDescent="0.3">
      <c r="A14" s="2">
        <v>6</v>
      </c>
      <c r="B14" s="24" t="s">
        <v>56</v>
      </c>
      <c r="C14" s="25"/>
      <c r="D14" s="25"/>
      <c r="E14" s="9"/>
      <c r="F14" s="10"/>
      <c r="G14" s="20">
        <v>1</v>
      </c>
      <c r="H14" s="9" t="s">
        <v>86</v>
      </c>
      <c r="I14" s="10"/>
      <c r="J14" s="8">
        <v>28500</v>
      </c>
      <c r="K14" s="10"/>
      <c r="L14" s="2">
        <f t="shared" si="0"/>
        <v>28500</v>
      </c>
      <c r="M14" s="2"/>
      <c r="N14" s="8" t="s">
        <v>43</v>
      </c>
      <c r="O14" s="9"/>
      <c r="P14" s="9"/>
      <c r="Q14" s="9"/>
      <c r="R14" s="10"/>
    </row>
    <row r="15" spans="1:18" ht="15.75" thickBot="1" x14ac:dyDescent="0.3">
      <c r="A15" s="2">
        <v>7</v>
      </c>
      <c r="B15" s="24" t="s">
        <v>57</v>
      </c>
      <c r="C15" s="25"/>
      <c r="D15" s="25"/>
      <c r="E15" s="9"/>
      <c r="F15" s="10"/>
      <c r="G15" s="20">
        <v>1</v>
      </c>
      <c r="H15" s="9" t="s">
        <v>84</v>
      </c>
      <c r="I15" s="10"/>
      <c r="J15" s="8">
        <v>75000</v>
      </c>
      <c r="K15" s="10"/>
      <c r="L15" s="2">
        <f t="shared" si="0"/>
        <v>75000</v>
      </c>
      <c r="M15" s="2"/>
      <c r="N15" s="8" t="s">
        <v>43</v>
      </c>
      <c r="O15" s="9"/>
      <c r="P15" s="9"/>
      <c r="Q15" s="9"/>
      <c r="R15" s="10"/>
    </row>
    <row r="16" spans="1:18" ht="15.75" thickBot="1" x14ac:dyDescent="0.3">
      <c r="A16" s="2">
        <v>8</v>
      </c>
      <c r="B16" s="24" t="s">
        <v>78</v>
      </c>
      <c r="C16" s="25"/>
      <c r="D16" s="25"/>
      <c r="E16" s="9"/>
      <c r="F16" s="10"/>
      <c r="G16" s="20">
        <v>1</v>
      </c>
      <c r="H16" s="9" t="s">
        <v>86</v>
      </c>
      <c r="I16" s="10"/>
      <c r="J16" s="8">
        <v>30000</v>
      </c>
      <c r="K16" s="10"/>
      <c r="L16" s="2">
        <f t="shared" si="0"/>
        <v>30000</v>
      </c>
      <c r="M16" s="2"/>
      <c r="N16" s="8" t="s">
        <v>43</v>
      </c>
      <c r="O16" s="9"/>
      <c r="P16" s="9"/>
      <c r="Q16" s="9"/>
      <c r="R16" s="10"/>
    </row>
    <row r="17" spans="1:18" ht="15.75" thickBot="1" x14ac:dyDescent="0.3">
      <c r="A17" s="2">
        <v>9</v>
      </c>
      <c r="B17" s="24" t="s">
        <v>82</v>
      </c>
      <c r="C17" s="25"/>
      <c r="D17" s="25"/>
      <c r="E17" s="9"/>
      <c r="F17" s="10"/>
      <c r="G17" s="20">
        <v>1</v>
      </c>
      <c r="H17" s="9" t="s">
        <v>83</v>
      </c>
      <c r="I17" s="10"/>
      <c r="J17" s="8">
        <v>55000</v>
      </c>
      <c r="K17" s="10"/>
      <c r="L17" s="2">
        <f t="shared" si="0"/>
        <v>55000</v>
      </c>
      <c r="M17" s="2"/>
      <c r="N17" s="8" t="s">
        <v>43</v>
      </c>
      <c r="O17" s="9"/>
      <c r="P17" s="9"/>
      <c r="Q17" s="9"/>
      <c r="R17" s="10"/>
    </row>
    <row r="18" spans="1:18" ht="15.75" thickBot="1" x14ac:dyDescent="0.3">
      <c r="A18" s="2">
        <v>10</v>
      </c>
      <c r="B18" s="24" t="s">
        <v>58</v>
      </c>
      <c r="C18" s="25"/>
      <c r="D18" s="25"/>
      <c r="E18" s="9"/>
      <c r="F18" s="10"/>
      <c r="G18" s="20">
        <v>12</v>
      </c>
      <c r="H18" s="9" t="s">
        <v>76</v>
      </c>
      <c r="I18" s="10"/>
      <c r="J18" s="15">
        <v>15000</v>
      </c>
      <c r="K18" s="10"/>
      <c r="L18" s="2">
        <f t="shared" si="0"/>
        <v>180000</v>
      </c>
      <c r="M18" s="2"/>
      <c r="N18" s="8" t="s">
        <v>42</v>
      </c>
      <c r="O18" s="9"/>
      <c r="P18" s="9"/>
      <c r="Q18" s="9"/>
      <c r="R18" s="10"/>
    </row>
    <row r="19" spans="1:18" ht="15.75" thickBot="1" x14ac:dyDescent="0.3">
      <c r="A19" s="2">
        <v>11</v>
      </c>
      <c r="B19" s="24" t="s">
        <v>59</v>
      </c>
      <c r="C19" s="25"/>
      <c r="D19" s="25"/>
      <c r="E19" s="9"/>
      <c r="F19" s="10"/>
      <c r="G19" s="20">
        <v>30</v>
      </c>
      <c r="H19" s="9" t="s">
        <v>74</v>
      </c>
      <c r="I19" s="10"/>
      <c r="J19" s="8">
        <v>1000</v>
      </c>
      <c r="K19" s="10"/>
      <c r="L19" s="2">
        <f t="shared" si="0"/>
        <v>30000</v>
      </c>
      <c r="M19" s="2"/>
      <c r="N19" s="8" t="s">
        <v>42</v>
      </c>
      <c r="O19" s="9"/>
      <c r="P19" s="9"/>
      <c r="Q19" s="9"/>
      <c r="R19" s="10"/>
    </row>
    <row r="20" spans="1:18" ht="15.75" thickBot="1" x14ac:dyDescent="0.3">
      <c r="A20" s="2">
        <v>12</v>
      </c>
      <c r="B20" s="24" t="s">
        <v>60</v>
      </c>
      <c r="C20" s="25"/>
      <c r="D20" s="25"/>
      <c r="E20" s="9"/>
      <c r="F20" s="10"/>
      <c r="G20" s="20">
        <v>1</v>
      </c>
      <c r="H20" s="9" t="s">
        <v>69</v>
      </c>
      <c r="I20" s="10"/>
      <c r="J20" s="8">
        <v>8000</v>
      </c>
      <c r="K20" s="10"/>
      <c r="L20" s="2">
        <f t="shared" si="0"/>
        <v>8000</v>
      </c>
      <c r="M20" s="2"/>
      <c r="N20" s="8" t="s">
        <v>42</v>
      </c>
      <c r="O20" s="9"/>
      <c r="P20" s="9"/>
      <c r="Q20" s="9"/>
      <c r="R20" s="10"/>
    </row>
    <row r="21" spans="1:18" ht="15.75" thickBot="1" x14ac:dyDescent="0.3">
      <c r="A21" s="2">
        <v>13</v>
      </c>
      <c r="B21" s="24" t="s">
        <v>79</v>
      </c>
      <c r="C21" s="25"/>
      <c r="D21" s="25"/>
      <c r="E21" s="9"/>
      <c r="F21" s="10"/>
      <c r="G21" s="20">
        <v>1</v>
      </c>
      <c r="H21" s="9" t="s">
        <v>69</v>
      </c>
      <c r="I21" s="10"/>
      <c r="J21" s="8">
        <v>1000</v>
      </c>
      <c r="K21" s="10"/>
      <c r="L21" s="2">
        <f t="shared" si="0"/>
        <v>1000</v>
      </c>
      <c r="M21" s="2"/>
      <c r="N21" s="8" t="s">
        <v>42</v>
      </c>
      <c r="O21" s="9"/>
      <c r="P21" s="9"/>
      <c r="Q21" s="9"/>
      <c r="R21" s="10"/>
    </row>
    <row r="22" spans="1:18" ht="15.75" thickBot="1" x14ac:dyDescent="0.3">
      <c r="A22" s="2">
        <v>14</v>
      </c>
      <c r="B22" s="24" t="s">
        <v>61</v>
      </c>
      <c r="C22" s="25"/>
      <c r="D22" s="25"/>
      <c r="E22" s="9"/>
      <c r="F22" s="10"/>
      <c r="G22" s="20">
        <v>16</v>
      </c>
      <c r="H22" s="9"/>
      <c r="I22" s="10"/>
      <c r="J22" s="8">
        <v>1500</v>
      </c>
      <c r="K22" s="10"/>
      <c r="L22" s="2">
        <f t="shared" si="0"/>
        <v>24000</v>
      </c>
      <c r="M22" s="2"/>
      <c r="N22" s="8" t="s">
        <v>42</v>
      </c>
      <c r="O22" s="9"/>
      <c r="P22" s="9"/>
      <c r="Q22" s="9"/>
      <c r="R22" s="10"/>
    </row>
    <row r="23" spans="1:18" ht="15.75" thickBot="1" x14ac:dyDescent="0.3">
      <c r="A23" s="2">
        <v>15</v>
      </c>
      <c r="B23" s="24" t="s">
        <v>62</v>
      </c>
      <c r="C23" s="25"/>
      <c r="D23" s="25"/>
      <c r="E23" s="9"/>
      <c r="F23" s="10"/>
      <c r="G23" s="20">
        <v>3</v>
      </c>
      <c r="H23" s="9" t="s">
        <v>80</v>
      </c>
      <c r="I23" s="10"/>
      <c r="J23" s="8">
        <v>2500</v>
      </c>
      <c r="K23" s="10"/>
      <c r="L23" s="2">
        <f t="shared" si="0"/>
        <v>7500</v>
      </c>
      <c r="M23" s="2"/>
      <c r="N23" s="8" t="s">
        <v>42</v>
      </c>
      <c r="O23" s="9"/>
      <c r="P23" s="9"/>
      <c r="Q23" s="9"/>
      <c r="R23" s="10"/>
    </row>
    <row r="24" spans="1:18" ht="15.75" thickBot="1" x14ac:dyDescent="0.3">
      <c r="A24" s="2">
        <v>16</v>
      </c>
      <c r="B24" s="24" t="s">
        <v>63</v>
      </c>
      <c r="C24" s="25"/>
      <c r="D24" s="25"/>
      <c r="E24" s="9"/>
      <c r="F24" s="10"/>
      <c r="G24" s="20">
        <v>1</v>
      </c>
      <c r="H24" s="9" t="s">
        <v>81</v>
      </c>
      <c r="I24" s="10"/>
      <c r="J24" s="8">
        <v>5000</v>
      </c>
      <c r="K24" s="10"/>
      <c r="L24" s="2">
        <f t="shared" si="0"/>
        <v>5000</v>
      </c>
      <c r="M24" s="2"/>
      <c r="N24" s="8" t="s">
        <v>42</v>
      </c>
      <c r="O24" s="9"/>
      <c r="P24" s="9"/>
      <c r="Q24" s="9"/>
      <c r="R24" s="10"/>
    </row>
    <row r="25" spans="1:18" ht="15.75" thickBot="1" x14ac:dyDescent="0.3">
      <c r="A25" s="2">
        <v>17</v>
      </c>
      <c r="B25" s="24" t="s">
        <v>64</v>
      </c>
      <c r="C25" s="25"/>
      <c r="D25" s="25"/>
      <c r="E25" s="9"/>
      <c r="F25" s="10"/>
      <c r="G25" s="20">
        <v>4</v>
      </c>
      <c r="H25" s="9" t="s">
        <v>75</v>
      </c>
      <c r="I25" s="10"/>
      <c r="J25" s="8">
        <v>2000</v>
      </c>
      <c r="K25" s="10"/>
      <c r="L25" s="2">
        <f t="shared" si="0"/>
        <v>8000</v>
      </c>
      <c r="M25" s="2"/>
      <c r="N25" s="8" t="s">
        <v>42</v>
      </c>
      <c r="O25" s="9"/>
      <c r="P25" s="9"/>
      <c r="Q25" s="9"/>
      <c r="R25" s="10"/>
    </row>
    <row r="26" spans="1:18" ht="15.75" thickBot="1" x14ac:dyDescent="0.3">
      <c r="A26" s="2">
        <v>18</v>
      </c>
      <c r="B26" s="28" t="s">
        <v>65</v>
      </c>
      <c r="C26" s="29"/>
      <c r="D26" s="29"/>
      <c r="E26" s="9"/>
      <c r="F26" s="9"/>
      <c r="G26" s="20">
        <v>32</v>
      </c>
      <c r="H26" s="9" t="s">
        <v>75</v>
      </c>
      <c r="I26" s="9"/>
      <c r="J26" s="8">
        <v>250</v>
      </c>
      <c r="K26" s="10"/>
      <c r="L26" s="2">
        <f t="shared" si="0"/>
        <v>8000</v>
      </c>
      <c r="M26" s="9"/>
      <c r="N26" s="8" t="s">
        <v>42</v>
      </c>
      <c r="O26" s="9"/>
      <c r="P26" s="9"/>
      <c r="Q26" s="9"/>
      <c r="R26" s="10"/>
    </row>
    <row r="27" spans="1:18" ht="15.75" thickBot="1" x14ac:dyDescent="0.3">
      <c r="A27" s="2">
        <v>19</v>
      </c>
      <c r="B27" s="28" t="s">
        <v>66</v>
      </c>
      <c r="C27" s="29"/>
      <c r="D27" s="29"/>
      <c r="E27" s="9"/>
      <c r="F27" s="9"/>
      <c r="G27" s="20">
        <v>16</v>
      </c>
      <c r="H27" s="9" t="s">
        <v>75</v>
      </c>
      <c r="I27" s="9"/>
      <c r="J27" s="8">
        <v>375</v>
      </c>
      <c r="K27" s="10"/>
      <c r="L27" s="2">
        <f t="shared" si="0"/>
        <v>6000</v>
      </c>
      <c r="M27" s="9"/>
      <c r="N27" s="8" t="s">
        <v>42</v>
      </c>
      <c r="O27" s="9"/>
      <c r="P27" s="9"/>
      <c r="Q27" s="9"/>
      <c r="R27" s="10"/>
    </row>
    <row r="28" spans="1:18" ht="15.75" thickBot="1" x14ac:dyDescent="0.3">
      <c r="A28" s="2">
        <v>20</v>
      </c>
      <c r="B28" s="28" t="s">
        <v>67</v>
      </c>
      <c r="C28" s="29"/>
      <c r="D28" s="29"/>
      <c r="E28" s="9"/>
      <c r="F28" s="9"/>
      <c r="G28" s="20">
        <v>1</v>
      </c>
      <c r="H28" s="9" t="s">
        <v>85</v>
      </c>
      <c r="I28" s="9"/>
      <c r="J28" s="8">
        <v>9000</v>
      </c>
      <c r="K28" s="10"/>
      <c r="L28" s="2">
        <f t="shared" si="0"/>
        <v>9000</v>
      </c>
      <c r="M28" s="9"/>
      <c r="N28" s="8" t="s">
        <v>42</v>
      </c>
      <c r="O28" s="9"/>
      <c r="P28" s="9"/>
      <c r="Q28" s="9"/>
      <c r="R28" s="10"/>
    </row>
    <row r="29" spans="1:18" ht="15.75" thickBot="1" x14ac:dyDescent="0.3">
      <c r="A29" s="2">
        <v>21</v>
      </c>
      <c r="B29" s="28" t="s">
        <v>68</v>
      </c>
      <c r="C29" s="29"/>
      <c r="D29" s="29"/>
      <c r="E29" s="9"/>
      <c r="F29" s="9"/>
      <c r="G29" s="20">
        <v>1</v>
      </c>
      <c r="H29" s="21" t="s">
        <v>69</v>
      </c>
      <c r="I29" s="9"/>
      <c r="J29" s="8">
        <v>2000</v>
      </c>
      <c r="K29" s="10"/>
      <c r="L29" s="2">
        <f t="shared" si="0"/>
        <v>2000</v>
      </c>
      <c r="M29" s="9"/>
      <c r="N29" s="8" t="s">
        <v>42</v>
      </c>
      <c r="O29" s="9"/>
      <c r="P29" s="9"/>
      <c r="Q29" s="9"/>
      <c r="R29" s="10"/>
    </row>
    <row r="30" spans="1:18" ht="15.75" thickBot="1" x14ac:dyDescent="0.3">
      <c r="A30" s="2">
        <v>22</v>
      </c>
      <c r="B30" s="28" t="s">
        <v>70</v>
      </c>
      <c r="C30" s="29"/>
      <c r="D30" s="29"/>
      <c r="E30" s="9"/>
      <c r="F30" s="9"/>
      <c r="G30" s="20">
        <v>1</v>
      </c>
      <c r="H30" s="21" t="s">
        <v>72</v>
      </c>
      <c r="I30" s="9"/>
      <c r="J30" s="8">
        <v>3000</v>
      </c>
      <c r="K30" s="10"/>
      <c r="L30" s="2">
        <f t="shared" si="0"/>
        <v>3000</v>
      </c>
      <c r="M30" s="9"/>
      <c r="N30" s="8" t="s">
        <v>42</v>
      </c>
      <c r="O30" s="9"/>
      <c r="P30" s="9"/>
      <c r="Q30" s="9"/>
      <c r="R30" s="10"/>
    </row>
    <row r="31" spans="1:18" ht="15.75" thickBot="1" x14ac:dyDescent="0.3">
      <c r="A31" s="2">
        <v>23</v>
      </c>
      <c r="B31" s="28" t="s">
        <v>71</v>
      </c>
      <c r="C31" s="29"/>
      <c r="D31" s="29"/>
      <c r="E31" s="9"/>
      <c r="F31" s="9"/>
      <c r="G31" s="20">
        <v>4</v>
      </c>
      <c r="H31" s="21" t="s">
        <v>72</v>
      </c>
      <c r="I31" s="9"/>
      <c r="J31" s="8">
        <v>2500</v>
      </c>
      <c r="K31" s="10"/>
      <c r="L31" s="2">
        <f t="shared" si="0"/>
        <v>10000</v>
      </c>
      <c r="M31" s="9"/>
      <c r="N31" s="8" t="s">
        <v>42</v>
      </c>
      <c r="O31" s="9"/>
      <c r="P31" s="9"/>
      <c r="Q31" s="9"/>
      <c r="R31" s="10"/>
    </row>
    <row r="32" spans="1:18" thickBot="1" x14ac:dyDescent="0.3">
      <c r="A32" s="2">
        <v>24</v>
      </c>
      <c r="B32" s="28" t="s">
        <v>73</v>
      </c>
      <c r="C32" s="29"/>
      <c r="D32" s="29"/>
      <c r="E32" s="9"/>
      <c r="F32" s="9"/>
      <c r="G32" s="20">
        <v>4</v>
      </c>
      <c r="H32" s="21" t="s">
        <v>72</v>
      </c>
      <c r="I32" s="9"/>
      <c r="J32" s="8">
        <v>2500</v>
      </c>
      <c r="K32" s="10"/>
      <c r="L32" s="2">
        <f t="shared" si="0"/>
        <v>10000</v>
      </c>
      <c r="M32" s="9"/>
      <c r="N32" s="8" t="s">
        <v>42</v>
      </c>
      <c r="O32" s="9"/>
      <c r="P32" s="9"/>
      <c r="Q32" s="9"/>
      <c r="R32" s="10"/>
    </row>
    <row r="33" spans="1:18" ht="15.75" thickBot="1" x14ac:dyDescent="0.3">
      <c r="A33" s="4"/>
      <c r="B33" s="5"/>
      <c r="C33" s="6"/>
      <c r="D33" s="6" t="s">
        <v>14</v>
      </c>
      <c r="E33" s="7"/>
      <c r="F33" s="6"/>
      <c r="G33" s="22"/>
      <c r="H33" s="23"/>
      <c r="I33" s="6"/>
      <c r="J33" s="5"/>
      <c r="K33" s="7"/>
      <c r="L33" s="11">
        <f>SUM(L9:L32)</f>
        <v>721000</v>
      </c>
      <c r="M33" s="6"/>
      <c r="N33" s="5"/>
      <c r="O33" s="6"/>
      <c r="P33" s="6"/>
      <c r="Q33" s="6"/>
      <c r="R33" s="7"/>
    </row>
    <row r="34" spans="1:18" x14ac:dyDescent="0.25">
      <c r="B34" t="s">
        <v>5</v>
      </c>
    </row>
    <row r="35" spans="1:18" x14ac:dyDescent="0.25">
      <c r="C35" t="s">
        <v>6</v>
      </c>
    </row>
    <row r="36" spans="1:18" x14ac:dyDescent="0.25">
      <c r="C36" t="s">
        <v>7</v>
      </c>
    </row>
    <row r="37" spans="1:18" ht="15.75" x14ac:dyDescent="0.25">
      <c r="C37" t="s">
        <v>8</v>
      </c>
      <c r="H37" s="12" t="s">
        <v>15</v>
      </c>
      <c r="I37" s="1"/>
      <c r="J37" s="1"/>
    </row>
    <row r="38" spans="1:18" ht="15.75" x14ac:dyDescent="0.25">
      <c r="C38" t="s">
        <v>12</v>
      </c>
      <c r="H38" s="12" t="s">
        <v>16</v>
      </c>
      <c r="I38" s="1"/>
      <c r="J38" s="1"/>
    </row>
    <row r="39" spans="1:18" x14ac:dyDescent="0.25">
      <c r="C39" t="s">
        <v>9</v>
      </c>
      <c r="H39" s="1" t="s">
        <v>87</v>
      </c>
      <c r="I39" s="1"/>
      <c r="J39" s="1"/>
    </row>
    <row r="40" spans="1:18" x14ac:dyDescent="0.25">
      <c r="C40" t="s">
        <v>13</v>
      </c>
    </row>
    <row r="42" spans="1:18" ht="15.75" x14ac:dyDescent="0.25">
      <c r="B42" s="1" t="s">
        <v>10</v>
      </c>
      <c r="C42" s="1"/>
      <c r="D42" s="1"/>
      <c r="H42" s="12" t="s">
        <v>17</v>
      </c>
      <c r="I42" s="1"/>
      <c r="J42" s="1"/>
    </row>
    <row r="43" spans="1:18" ht="15.75" x14ac:dyDescent="0.25">
      <c r="B43" s="1" t="s">
        <v>11</v>
      </c>
      <c r="C43" s="1"/>
      <c r="D43" s="1"/>
      <c r="H43" s="12" t="s">
        <v>18</v>
      </c>
      <c r="I43" s="1"/>
      <c r="J43" s="1"/>
    </row>
    <row r="44" spans="1:18" x14ac:dyDescent="0.25">
      <c r="H44" s="1" t="s">
        <v>88</v>
      </c>
    </row>
  </sheetData>
  <mergeCells count="25">
    <mergeCell ref="B31:D31"/>
    <mergeCell ref="B32:D32"/>
    <mergeCell ref="B26:D26"/>
    <mergeCell ref="B27:D27"/>
    <mergeCell ref="B28:D28"/>
    <mergeCell ref="B29:D29"/>
    <mergeCell ref="B30:D30"/>
    <mergeCell ref="G8:H8"/>
    <mergeCell ref="B24:D24"/>
    <mergeCell ref="B25:D25"/>
    <mergeCell ref="B19:D19"/>
    <mergeCell ref="B20:D20"/>
    <mergeCell ref="B21:D21"/>
    <mergeCell ref="B22:D22"/>
    <mergeCell ref="B23:D23"/>
    <mergeCell ref="B17:D17"/>
    <mergeCell ref="B18:D18"/>
    <mergeCell ref="B9:D9"/>
    <mergeCell ref="B15:D15"/>
    <mergeCell ref="B16:D16"/>
    <mergeCell ref="B10:D10"/>
    <mergeCell ref="B11:D11"/>
    <mergeCell ref="B12:D12"/>
    <mergeCell ref="B13:D13"/>
    <mergeCell ref="B14:D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CEED MOCK + ERROR</vt:lpstr>
      <vt:lpstr>CORRECTED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LJSS HoD Sciences</cp:lastModifiedBy>
  <cp:lastPrinted>2025-11-27T18:24:47Z</cp:lastPrinted>
  <dcterms:created xsi:type="dcterms:W3CDTF">2023-04-20T09:04:35Z</dcterms:created>
  <dcterms:modified xsi:type="dcterms:W3CDTF">2026-02-11T15:37:37Z</dcterms:modified>
</cp:coreProperties>
</file>